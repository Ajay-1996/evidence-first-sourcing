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e" sheetId="1" state="visible" r:id="rId3"/>
    <sheet name="rate card" sheetId="2" state="visible" r:id="rId4"/>
    <sheet name="Sheet2" sheetId="3" state="visible" r:id="rId5"/>
    <sheet name="old" sheetId="4" state="hidden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<sst xmlns="http://schemas.openxmlformats.org/spreadsheetml/2006/main" count="72" uniqueCount="53">
  <si>
    <t xml:space="preserve">SHAKTI PACKAGING INDUSTRIES
Plot 44, MIDC Phase II, Vasai East, Palghar 401208
GSTIN 27AAGCS4412M1ZP  |  quotation ref SPI/QT/2026-0418</t>
  </si>
  <si>
    <t xml:space="preserve">Rate</t>
  </si>
  <si>
    <t xml:space="preserve">Item</t>
  </si>
  <si>
    <t xml:space="preserve">Description</t>
  </si>
  <si>
    <t xml:space="preserve">Qty/month</t>
  </si>
  <si>
    <t xml:space="preserve">Per pc</t>
  </si>
  <si>
    <t xml:space="preserve">Per bundle</t>
  </si>
  <si>
    <t xml:space="preserve">Amount/month</t>
  </si>
  <si>
    <t xml:space="preserve">PKG-001</t>
  </si>
  <si>
    <t xml:space="preserve">RSC 3-ply 200x150x100 mm</t>
  </si>
  <si>
    <t xml:space="preserve">PKG-004</t>
  </si>
  <si>
    <t xml:space="preserve">RSC 3-ply 300x200x150 mm</t>
  </si>
  <si>
    <t xml:space="preserve">PKG-006</t>
  </si>
  <si>
    <t xml:space="preserve">RSC 3-ply 350x250x200 mm</t>
  </si>
  <si>
    <t xml:space="preserve">PKG-008</t>
  </si>
  <si>
    <t xml:space="preserve">RSC 3-ply 400x300x200 mm</t>
  </si>
  <si>
    <t xml:space="preserve">PKG-009</t>
  </si>
  <si>
    <t xml:space="preserve">RSC 5-ply 420x320x240 mm</t>
  </si>
  <si>
    <t xml:space="preserve">PKG-010</t>
  </si>
  <si>
    <t xml:space="preserve">RSC 5-ply 450x350x250 mm</t>
  </si>
  <si>
    <t xml:space="preserve">PKG-012</t>
  </si>
  <si>
    <t xml:space="preserve">RSC 5-ply 500x400x300 mm</t>
  </si>
  <si>
    <t xml:space="preserve">PKG-013</t>
  </si>
  <si>
    <t xml:space="preserve">RSC 5-ply 500x400x400 mm</t>
  </si>
  <si>
    <t xml:space="preserve">PKG-014</t>
  </si>
  <si>
    <t xml:space="preserve">RSC 5-ply 550x400x350 mm</t>
  </si>
  <si>
    <t xml:space="preserve">PKG-016</t>
  </si>
  <si>
    <t xml:space="preserve">RSC 5-ply 600x400x400 mm</t>
  </si>
  <si>
    <t xml:space="preserve">PKG-017</t>
  </si>
  <si>
    <t xml:space="preserve">RSC 5-ply 600x450x450 mm</t>
  </si>
  <si>
    <t xml:space="preserve">PKG-019</t>
  </si>
  <si>
    <t xml:space="preserve">RSC 5-ply 700x500x400 mm</t>
  </si>
  <si>
    <t xml:space="preserve">PKG-020</t>
  </si>
  <si>
    <t xml:space="preserve">RSC 5-ply 700x500x500 mm</t>
  </si>
  <si>
    <t xml:space="preserve">PKG-022</t>
  </si>
  <si>
    <t xml:space="preserve">RSC 7-ply 800x600x400 mm</t>
  </si>
  <si>
    <t xml:space="preserve">PKG-023</t>
  </si>
  <si>
    <t xml:space="preserve">RSC 7-ply 800x600x600 mm</t>
  </si>
  <si>
    <t xml:space="preserve">PKG-025</t>
  </si>
  <si>
    <t xml:space="preserve">RSC 7-ply 900x600x600 mm</t>
  </si>
  <si>
    <t xml:space="preserve">PKG-027</t>
  </si>
  <si>
    <t xml:space="preserve">RSC 7-ply 1000x700x600 mm</t>
  </si>
  <si>
    <t xml:space="preserve">PKG-030</t>
  </si>
  <si>
    <t xml:space="preserve">RSC 7-ply 1100x800x800 mm</t>
  </si>
  <si>
    <t xml:space="preserve">TOTAL</t>
  </si>
  <si>
    <t xml:space="preserve">TERMS (please read): Rates ex-works Vasai. Freight to Bhiwandi extra at actuals. Payment 50% advance, balance against delivery. Rates firm for 30 days only. Bundle rates are for standard bundle. GST 18% extra.</t>
  </si>
  <si>
    <t xml:space="preserve">grade</t>
  </si>
  <si>
    <t xml:space="preserve">Rs/kg</t>
  </si>
  <si>
    <t xml:space="preserve">virgin kraft</t>
  </si>
  <si>
    <t xml:space="preserve">recycled</t>
  </si>
  <si>
    <t xml:space="preserve">conversion</t>
  </si>
  <si>
    <t xml:space="preserve">SUPERSEDED - Jan 2026 rates - do not send</t>
  </si>
  <si>
    <t xml:space="preserve">Rate/pc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</si>
</sst>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15" hidden="false" customHeight="false" outlineLevel="0" collapsed="false">
      <c r="A5" s="3"/>
      <c r="B5" s="3"/>
      <c r="C5" s="3"/>
      <c r="D5" s="4" t="s">
        <v>1</v>
      </c>
      <c r="E5" s="4"/>
      <c r="F5" s="3"/>
    </row>
    <row r="6" customFormat="false" ht="15" hidden="false" customHeight="false" outlineLevel="0" collapsed="false">
      <c r="A6" s="5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</row>
    <row r="7" customFormat="false" ht="15" hidden="false" customHeight="false" outlineLevel="0" collapsed="false">
      <c r="A7" s="3" t="s">
        <v>8</v>
      </c>
      <c r="B7" s="3" t="s">
        <v>9</v>
      </c>
      <c r="C7" s="3" t="n">
        <v>18000</v>
      </c>
      <c r="D7" s="3" t="n">
        <v>3.52</v>
      </c>
      <c r="E7" s="3" t="n">
        <v>88</v>
      </c>
      <c r="F7" s="3" t="n">
        <f aca="false">C7*D7</f>
        <v>63360</v>
      </c>
    </row>
    <row r="8" customFormat="false" ht="15" hidden="false" customHeight="false" outlineLevel="0" collapsed="false">
      <c r="A8" s="3" t="s">
        <v>10</v>
      </c>
      <c r="B8" s="3" t="s">
        <v>11</v>
      </c>
      <c r="C8" s="3" t="n">
        <v>22000</v>
      </c>
      <c r="D8" s="3" t="n">
        <v>7.74</v>
      </c>
      <c r="E8" s="3"/>
      <c r="F8" s="3" t="n">
        <f aca="false">C8*D8</f>
        <v>170280</v>
      </c>
    </row>
    <row r="9" customFormat="false" ht="15" hidden="false" customHeight="false" outlineLevel="0" collapsed="false">
      <c r="A9" s="3" t="s">
        <v>12</v>
      </c>
      <c r="B9" s="3" t="s">
        <v>13</v>
      </c>
      <c r="C9" s="3" t="n">
        <v>14000</v>
      </c>
      <c r="D9" s="3" t="n">
        <v>12.47</v>
      </c>
      <c r="E9" s="3"/>
      <c r="F9" s="3" t="n">
        <f aca="false">C9*D9</f>
        <v>174580</v>
      </c>
    </row>
    <row r="10" customFormat="false" ht="15" hidden="false" customHeight="false" outlineLevel="0" collapsed="false">
      <c r="A10" s="3" t="s">
        <v>14</v>
      </c>
      <c r="B10" s="3" t="s">
        <v>15</v>
      </c>
      <c r="C10" s="3" t="n">
        <v>26000</v>
      </c>
      <c r="D10" s="3" t="n">
        <f aca="false">ROUND(0.3249*('rate card'!$B$2+'rate card'!$B$4),2)</f>
        <v>17.45</v>
      </c>
      <c r="E10" s="3"/>
      <c r="F10" s="3" t="n">
        <f aca="false">C10*D10</f>
        <v>453700</v>
      </c>
    </row>
    <row r="11" customFormat="false" ht="15" hidden="false" customHeight="false" outlineLevel="0" collapsed="false">
      <c r="A11" s="3" t="s">
        <v>16</v>
      </c>
      <c r="B11" s="3" t="s">
        <v>17</v>
      </c>
      <c r="C11" s="3" t="n">
        <v>8000</v>
      </c>
      <c r="D11" s="3" t="n">
        <v>33.54</v>
      </c>
      <c r="E11" s="3" t="n">
        <v>838.5</v>
      </c>
      <c r="F11" s="3" t="n">
        <f aca="false">C11*D11</f>
        <v>268320</v>
      </c>
    </row>
    <row r="12" customFormat="false" ht="15" hidden="false" customHeight="false" outlineLevel="0" collapsed="false">
      <c r="A12" s="3" t="s">
        <v>18</v>
      </c>
      <c r="B12" s="3" t="s">
        <v>19</v>
      </c>
      <c r="C12" s="3" t="n">
        <v>13000</v>
      </c>
      <c r="D12" s="3" t="n">
        <v>39.2</v>
      </c>
      <c r="E12" s="3"/>
      <c r="F12" s="3" t="n">
        <f aca="false">C12*D12</f>
        <v>509600</v>
      </c>
    </row>
    <row r="13" customFormat="false" ht="15" hidden="false" customHeight="false" outlineLevel="0" collapsed="false">
      <c r="A13" s="3" t="s">
        <v>20</v>
      </c>
      <c r="B13" s="3" t="s">
        <v>21</v>
      </c>
      <c r="C13" s="3" t="n">
        <v>16000</v>
      </c>
      <c r="D13" s="3" t="n">
        <v>52.52</v>
      </c>
      <c r="E13" s="3"/>
      <c r="F13" s="3" t="n">
        <f aca="false">C13*D13</f>
        <v>840320</v>
      </c>
    </row>
    <row r="14" customFormat="false" ht="15" hidden="false" customHeight="false" outlineLevel="0" collapsed="false">
      <c r="A14" s="3" t="s">
        <v>22</v>
      </c>
      <c r="B14" s="3" t="s">
        <v>23</v>
      </c>
      <c r="C14" s="3" t="n">
        <v>19000</v>
      </c>
      <c r="D14" s="3" t="n">
        <v>67.71</v>
      </c>
      <c r="E14" s="3"/>
      <c r="F14" s="3" t="n">
        <f aca="false">C14*D14</f>
        <v>1286490</v>
      </c>
    </row>
    <row r="15" customFormat="false" ht="15" hidden="false" customHeight="false" outlineLevel="0" collapsed="false">
      <c r="A15" s="3" t="s">
        <v>24</v>
      </c>
      <c r="B15" s="3" t="s">
        <v>25</v>
      </c>
      <c r="C15" s="3" t="n">
        <v>6200</v>
      </c>
      <c r="D15" s="3" t="n">
        <f aca="false">ROUND(1.31*('rate card'!$B$2+'rate card'!$B$4),2)</f>
        <v>70.35</v>
      </c>
      <c r="E15" s="3" t="n">
        <v>1700.25</v>
      </c>
      <c r="F15" s="3" t="n">
        <f aca="false">C15*D15</f>
        <v>436170</v>
      </c>
    </row>
    <row r="16" customFormat="false" ht="15" hidden="false" customHeight="false" outlineLevel="0" collapsed="false">
      <c r="A16" s="3" t="s">
        <v>26</v>
      </c>
      <c r="B16" s="3" t="s">
        <v>27</v>
      </c>
      <c r="C16" s="3" t="n">
        <v>21000</v>
      </c>
      <c r="D16" s="3" t="n">
        <v>77.99</v>
      </c>
      <c r="E16" s="3"/>
      <c r="F16" s="3" t="n">
        <f aca="false">C16*D16</f>
        <v>1637790</v>
      </c>
    </row>
    <row r="17" customFormat="false" ht="15" hidden="false" customHeight="false" outlineLevel="0" collapsed="false">
      <c r="A17" s="3" t="s">
        <v>28</v>
      </c>
      <c r="B17" s="3" t="s">
        <v>29</v>
      </c>
      <c r="C17" s="3" t="n">
        <v>8800</v>
      </c>
      <c r="D17" s="3" t="n">
        <v>89.43</v>
      </c>
      <c r="E17" s="3"/>
      <c r="F17" s="3" t="n">
        <f aca="false">C17*D17</f>
        <v>786984</v>
      </c>
    </row>
    <row r="18" customFormat="false" ht="15" hidden="false" customHeight="false" outlineLevel="0" collapsed="false">
      <c r="A18" s="3" t="s">
        <v>30</v>
      </c>
      <c r="B18" s="3" t="s">
        <v>31</v>
      </c>
      <c r="C18" s="3" t="n">
        <v>9600</v>
      </c>
      <c r="D18" s="3" t="n">
        <v>105.11</v>
      </c>
      <c r="E18" s="3"/>
      <c r="F18" s="3" t="n">
        <f aca="false">C18*D18</f>
        <v>1009056</v>
      </c>
    </row>
    <row r="19" customFormat="false" ht="15" hidden="false" customHeight="false" outlineLevel="0" collapsed="false">
      <c r="A19" s="3" t="s">
        <v>32</v>
      </c>
      <c r="B19" s="3" t="s">
        <v>33</v>
      </c>
      <c r="C19" s="3" t="n">
        <v>6100</v>
      </c>
      <c r="D19" s="3" t="n">
        <v>113.24</v>
      </c>
      <c r="E19" s="3" t="n">
        <v>2831</v>
      </c>
      <c r="F19" s="3" t="n">
        <f aca="false">C19*D19</f>
        <v>690764</v>
      </c>
    </row>
    <row r="20" customFormat="false" ht="15" hidden="false" customHeight="false" outlineLevel="0" collapsed="false">
      <c r="A20" s="3" t="s">
        <v>34</v>
      </c>
      <c r="B20" s="3" t="s">
        <v>35</v>
      </c>
      <c r="C20" s="3" t="n">
        <v>4200</v>
      </c>
      <c r="D20" s="3" t="n">
        <v>206.25</v>
      </c>
      <c r="E20" s="3"/>
      <c r="F20" s="3" t="n">
        <f aca="false">C20*D20</f>
        <v>866250</v>
      </c>
    </row>
    <row r="21" customFormat="false" ht="15" hidden="false" customHeight="false" outlineLevel="0" collapsed="false">
      <c r="A21" s="3" t="s">
        <v>36</v>
      </c>
      <c r="B21" s="3" t="s">
        <v>37</v>
      </c>
      <c r="C21" s="3" t="n">
        <v>3300</v>
      </c>
      <c r="D21" s="3" t="n">
        <f aca="false">ROUND(4.6527*('rate card'!$B$2+'rate card'!$B$4),2)</f>
        <v>249.85</v>
      </c>
      <c r="E21" s="3"/>
      <c r="F21" s="3" t="n">
        <f aca="false">C21*D21</f>
        <v>824505</v>
      </c>
    </row>
    <row r="22" customFormat="false" ht="15" hidden="false" customHeight="false" outlineLevel="0" collapsed="false">
      <c r="A22" s="3" t="s">
        <v>38</v>
      </c>
      <c r="B22" s="3" t="s">
        <v>39</v>
      </c>
      <c r="C22" s="3" t="n">
        <v>3600</v>
      </c>
      <c r="D22" s="3" t="n">
        <v>253.75</v>
      </c>
      <c r="E22" s="3"/>
      <c r="F22" s="3" t="n">
        <f aca="false">C22*D22</f>
        <v>913500</v>
      </c>
    </row>
    <row r="23" customFormat="false" ht="15" hidden="false" customHeight="false" outlineLevel="0" collapsed="false">
      <c r="A23" s="3" t="s">
        <v>40</v>
      </c>
      <c r="B23" s="3" t="s">
        <v>41</v>
      </c>
      <c r="C23" s="3" t="n">
        <v>2600</v>
      </c>
      <c r="D23" s="3" t="n">
        <v>376.51</v>
      </c>
      <c r="E23" s="3" t="n">
        <v>9412.75</v>
      </c>
      <c r="F23" s="3" t="n">
        <f aca="false">C23*D23</f>
        <v>978926</v>
      </c>
    </row>
    <row r="24" customFormat="false" ht="15" hidden="false" customHeight="false" outlineLevel="0" collapsed="false">
      <c r="A24" s="3" t="s">
        <v>42</v>
      </c>
      <c r="B24" s="3" t="s">
        <v>43</v>
      </c>
      <c r="C24" s="3" t="n">
        <v>1200</v>
      </c>
      <c r="D24" s="3" t="n">
        <v>546.47</v>
      </c>
      <c r="E24" s="3"/>
      <c r="F24" s="3" t="n">
        <f aca="false">C24*D24</f>
        <v>655764</v>
      </c>
    </row>
    <row r="25" customFormat="false" ht="15" hidden="false" customHeight="true" outlineLevel="0" collapsed="false">
      <c r="A25" s="2"/>
      <c r="B25" s="6" t="s">
        <v>44</v>
      </c>
      <c r="C25" s="2"/>
      <c r="D25" s="2"/>
      <c r="E25" s="2"/>
      <c r="F25" s="6" t="n">
        <f aca="false">SUM(F7:F24)</f>
        <v>12566359</v>
      </c>
      <c r="J25" s="7" t="s">
        <v>45</v>
      </c>
      <c r="K25" s="7"/>
      <c r="L25" s="7"/>
      <c r="M25" s="7"/>
      <c r="N25" s="7"/>
    </row>
    <row r="26" customFormat="false" ht="15" hidden="false" customHeight="false" outlineLevel="0" collapsed="false">
      <c r="J26" s="7"/>
      <c r="K26" s="7"/>
      <c r="L26" s="7"/>
      <c r="M26" s="7"/>
      <c r="N26" s="7"/>
    </row>
    <row r="27" customFormat="false" ht="15" hidden="false" customHeight="false" outlineLevel="0" collapsed="false">
      <c r="J27" s="7"/>
      <c r="K27" s="7"/>
      <c r="L27" s="7"/>
      <c r="M27" s="7"/>
      <c r="N27" s="7"/>
    </row>
    <row r="28" customFormat="false" ht="15" hidden="false" customHeight="false" outlineLevel="0" collapsed="false">
      <c r="J28" s="7"/>
      <c r="K28" s="7"/>
      <c r="L28" s="7"/>
      <c r="M28" s="7"/>
      <c r="N28" s="7"/>
    </row>
    <row r="29" customFormat="false" ht="15" hidden="false" customHeight="false" outlineLevel="0" collapsed="false">
      <c r="J29" s="7"/>
      <c r="K29" s="7"/>
      <c r="L29" s="7"/>
      <c r="M29" s="7"/>
      <c r="N29" s="7"/>
    </row>
    <row r="30" customFormat="false" ht="15" hidden="false" customHeight="false" outlineLevel="0" collapsed="false">
      <c r="J30" s="7"/>
      <c r="K30" s="7"/>
      <c r="L30" s="7"/>
      <c r="M30" s="7"/>
      <c r="N30" s="7"/>
    </row>
  </sheetData>
  <mergeCells count="3">
    <mergeCell ref="A1:F3"/>
    <mergeCell ref="D5:E5"/>
    <mergeCell ref="J25:N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46</v>
      </c>
      <c r="B1" s="0" t="s">
        <v>47</v>
      </c>
    </row>
    <row r="2" customFormat="false" ht="15" hidden="false" customHeight="false" outlineLevel="0" collapsed="false">
      <c r="A2" s="0" t="s">
        <v>48</v>
      </c>
      <c r="B2" s="0" t="n">
        <v>46.5</v>
      </c>
    </row>
    <row r="3" customFormat="false" ht="15" hidden="false" customHeight="false" outlineLevel="0" collapsed="false">
      <c r="A3" s="0" t="s">
        <v>49</v>
      </c>
      <c r="B3" s="0" t="n">
        <v>39</v>
      </c>
    </row>
    <row r="4" customFormat="false" ht="15" hidden="false" customHeight="false" outlineLevel="0" collapsed="false">
      <c r="A4" s="0" t="s">
        <v>50</v>
      </c>
      <c r="B4" s="0" t="n">
        <v>7.2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8" t="s">
        <v>51</v>
      </c>
    </row>
    <row r="2" customFormat="false" ht="15" hidden="false" customHeight="false" outlineLevel="0" collapsed="false">
      <c r="A2" s="0" t="s">
        <v>2</v>
      </c>
      <c r="B2" s="0" t="s">
        <v>52</v>
      </c>
    </row>
    <row r="3" customFormat="false" ht="15" hidden="false" customHeight="false" outlineLevel="0" collapsed="false">
      <c r="A3" s="0" t="s">
        <v>8</v>
      </c>
      <c r="B3" s="0" t="n">
        <v>3.73</v>
      </c>
    </row>
    <row r="4" customFormat="false" ht="15" hidden="false" customHeight="false" outlineLevel="0" collapsed="false">
      <c r="A4" s="0" t="s">
        <v>10</v>
      </c>
      <c r="B4" s="0" t="n">
        <v>8.07</v>
      </c>
    </row>
    <row r="5" customFormat="false" ht="15" hidden="false" customHeight="false" outlineLevel="0" collapsed="false">
      <c r="A5" s="0" t="s">
        <v>12</v>
      </c>
      <c r="B5" s="0" t="n">
        <v>12.38</v>
      </c>
    </row>
    <row r="6" customFormat="false" ht="15" hidden="false" customHeight="false" outlineLevel="0" collapsed="false">
      <c r="A6" s="0" t="s">
        <v>14</v>
      </c>
      <c r="B6" s="0" t="n">
        <v>17.43</v>
      </c>
    </row>
    <row r="7" customFormat="false" ht="15" hidden="false" customHeight="false" outlineLevel="0" collapsed="false">
      <c r="A7" s="0" t="s">
        <v>16</v>
      </c>
      <c r="B7" s="0" t="n">
        <v>35.23</v>
      </c>
    </row>
    <row r="8" customFormat="false" ht="15" hidden="false" customHeight="false" outlineLevel="0" collapsed="false">
      <c r="A8" s="0" t="s">
        <v>18</v>
      </c>
      <c r="B8" s="0" t="n">
        <v>40.73</v>
      </c>
    </row>
    <row r="9" customFormat="false" ht="15" hidden="false" customHeight="false" outlineLevel="0" collapsed="false">
      <c r="A9" s="0" t="s">
        <v>20</v>
      </c>
      <c r="B9" s="0" t="n">
        <v>57.75</v>
      </c>
    </row>
    <row r="10" customFormat="false" ht="15" hidden="false" customHeight="false" outlineLevel="0" collapsed="false">
      <c r="A10" s="0" t="s">
        <v>22</v>
      </c>
      <c r="B10" s="0" t="n">
        <v>71.08</v>
      </c>
    </row>
    <row r="11" customFormat="false" ht="15" hidden="false" customHeight="false" outlineLevel="0" collapsed="false">
      <c r="A11" s="0" t="s">
        <v>24</v>
      </c>
      <c r="B11" s="0" t="n">
        <v>70.25</v>
      </c>
    </row>
    <row r="12" customFormat="false" ht="15" hidden="false" customHeight="false" outlineLevel="0" collapsed="false">
      <c r="A12" s="0" t="s">
        <v>26</v>
      </c>
      <c r="B12" s="0" t="n">
        <v>78.8</v>
      </c>
    </row>
    <row r="13" customFormat="false" ht="15" hidden="false" customHeight="false" outlineLevel="0" collapsed="false">
      <c r="A13" s="0" t="s">
        <v>28</v>
      </c>
      <c r="B13" s="0" t="n">
        <v>99.64</v>
      </c>
    </row>
    <row r="14" customFormat="false" ht="15" hidden="false" customHeight="false" outlineLevel="0" collapsed="false">
      <c r="A14" s="0" t="s">
        <v>30</v>
      </c>
      <c r="B14" s="0" t="n">
        <v>113.61</v>
      </c>
    </row>
    <row r="15" customFormat="false" ht="15" hidden="false" customHeight="false" outlineLevel="0" collapsed="false">
      <c r="A15" s="0" t="s">
        <v>32</v>
      </c>
      <c r="B15" s="0" t="n">
        <v>126.23</v>
      </c>
    </row>
    <row r="16" customFormat="false" ht="15" hidden="false" customHeight="false" outlineLevel="0" collapsed="false">
      <c r="A16" s="0" t="s">
        <v>34</v>
      </c>
      <c r="B16" s="0" t="n">
        <v>207.94</v>
      </c>
    </row>
    <row r="17" customFormat="false" ht="15" hidden="false" customHeight="false" outlineLevel="0" collapsed="false">
      <c r="A17" s="0" t="s">
        <v>36</v>
      </c>
      <c r="B17" s="0" t="n">
        <v>249.53</v>
      </c>
    </row>
    <row r="18" customFormat="false" ht="15" hidden="false" customHeight="false" outlineLevel="0" collapsed="false">
      <c r="A18" s="0" t="s">
        <v>38</v>
      </c>
      <c r="B18" s="0" t="n">
        <v>284.9</v>
      </c>
    </row>
    <row r="19" customFormat="false" ht="15" hidden="false" customHeight="false" outlineLevel="0" collapsed="false">
      <c r="A19" s="0" t="s">
        <v>40</v>
      </c>
      <c r="B19" s="0" t="n">
        <v>371.09</v>
      </c>
    </row>
    <row r="20" customFormat="false" ht="15" hidden="false" customHeight="false" outlineLevel="0" collapsed="false">
      <c r="A20" s="0" t="s">
        <v>42</v>
      </c>
      <c r="B20" s="0" t="n">
        <v>539.83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2026-09-02T04:49:07Z</dcterms:created>
  <dc:creator>openpyxl</dc:creator>
  <dc:description/>
  <dc:language>en-US</dc:language>
  <cp:lastModifiedBy/>
  <dcterms:modified xsi:type="dcterms:W3CDTF">2026-09-02T04:49:07Z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